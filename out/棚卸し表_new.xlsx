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520" tabRatio="600" firstSheet="0" activeTab="0" autoFilterDateGrouping="1"/>
  </bookViews>
  <sheets>
    <sheet xmlns:r="http://schemas.openxmlformats.org/officeDocument/2006/relationships" name="棚卸し表" sheetId="1" state="visible" r:id="rId1"/>
  </sheets>
  <definedNames>
    <definedName name="_xlnm.Print_Titles" localSheetId="0">'棚卸し表'!$3:$3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ＭＳ Ｐゴシック"/>
      <family val="2"/>
      <color theme="1"/>
      <sz val="11"/>
      <scheme val="minor"/>
    </font>
    <font>
      <name val="Meiryo"/>
      <charset val="128"/>
      <family val="2"/>
      <b val="1"/>
      <sz val="16"/>
    </font>
    <font>
      <name val="Meiryo"/>
      <charset val="128"/>
      <family val="2"/>
      <b val="1"/>
      <color rgb="FFFFFFFF"/>
      <sz val="11"/>
    </font>
    <font>
      <name val="Meiryo"/>
      <charset val="128"/>
      <family val="2"/>
      <sz val="10"/>
    </font>
    <font>
      <name val="Meiryo"/>
      <charset val="128"/>
      <family val="2"/>
      <b val="1"/>
      <sz val="11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EF2F8"/>
      </patternFill>
    </fill>
    <fill>
      <patternFill patternType="solid">
        <fgColor rgb="FFD9E1F2"/>
      </patternFill>
    </fill>
    <fill>
      <patternFill patternType="solid">
        <fgColor rgb="00EEF2F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3" fontId="3" fillId="3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right"/>
    </xf>
    <xf numFmtId="3" fontId="4" fillId="4" borderId="2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3" fontId="3" fillId="5" borderId="1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0"/>
  <sheetViews>
    <sheetView showGridLines="0" tabSelected="1" workbookViewId="0">
      <pane ySplit="3" topLeftCell="A4" activePane="bottomLeft" state="frozen"/>
      <selection pane="bottomLeft" activeCell="Q3" sqref="Q3"/>
    </sheetView>
  </sheetViews>
  <sheetFormatPr baseColWidth="10" defaultColWidth="8.83203125" defaultRowHeight="14"/>
  <cols>
    <col width="6" customWidth="1" style="12" min="1" max="1"/>
    <col width="58" customWidth="1" style="12" min="2" max="2"/>
    <col width="14" customWidth="1" style="12" min="3" max="3"/>
    <col width="12" customWidth="1" style="12" min="4" max="4"/>
    <col width="16" customWidth="1" style="12" min="5" max="5"/>
  </cols>
  <sheetData>
    <row r="1" ht="26" customHeight="1" s="12">
      <c r="A1" s="11" t="inlineStr">
        <is>
          <t>棚卸し表</t>
        </is>
      </c>
    </row>
    <row r="3" ht="19" customHeight="1" s="12">
      <c r="A3" s="1" t="inlineStr">
        <is>
          <t>No.</t>
        </is>
      </c>
      <c r="B3" s="1" t="inlineStr">
        <is>
          <t>商品名</t>
        </is>
      </c>
      <c r="C3" s="1" t="inlineStr">
        <is>
          <t>単価（円）</t>
        </is>
      </c>
      <c r="D3" s="1" t="inlineStr">
        <is>
          <t>個数（本）</t>
        </is>
      </c>
      <c r="E3" s="1" t="inlineStr">
        <is>
          <t>小計額（円）</t>
        </is>
      </c>
    </row>
    <row r="4" ht="17" customHeight="1" s="12">
      <c r="A4" s="2" t="n">
        <v>1</v>
      </c>
      <c r="B4" s="3" t="inlineStr">
        <is>
          <t>マルジェラ　レプリカ100ml　レイジーサンデーモーニング</t>
        </is>
      </c>
      <c r="C4" s="4" t="n">
        <v>7615</v>
      </c>
      <c r="D4" s="4" t="n">
        <v>82</v>
      </c>
      <c r="E4" s="4">
        <f>C4*D4</f>
        <v/>
      </c>
    </row>
    <row r="5" ht="17" customHeight="1" s="12">
      <c r="A5" s="13" t="n">
        <v>2</v>
      </c>
      <c r="B5" s="14" t="inlineStr">
        <is>
          <t>マルジェラ　レプリカ100ml　ジャズクラブ</t>
        </is>
      </c>
      <c r="C5" s="15" t="n">
        <v>7615</v>
      </c>
      <c r="D5" s="15" t="n">
        <v>5</v>
      </c>
      <c r="E5" s="15">
        <f>C5*D5</f>
        <v/>
      </c>
    </row>
    <row r="6" ht="17" customHeight="1" s="12">
      <c r="A6" s="2" t="n">
        <v>3</v>
      </c>
      <c r="B6" s="3" t="inlineStr">
        <is>
          <t>マルジェラ　レプリカ100ml　フラワーマーケット</t>
        </is>
      </c>
      <c r="C6" s="4" t="n">
        <v>7615</v>
      </c>
      <c r="D6" s="4" t="n">
        <v>1</v>
      </c>
      <c r="E6" s="4">
        <f>C6*D6</f>
        <v/>
      </c>
    </row>
    <row r="7" ht="17" customHeight="1" s="12">
      <c r="A7" s="13" t="n">
        <v>4</v>
      </c>
      <c r="B7" s="14" t="inlineStr">
        <is>
          <t>マルジェラ　レプリカ100ml　バブルバス</t>
        </is>
      </c>
      <c r="C7" s="15" t="n">
        <v>7615</v>
      </c>
      <c r="D7" s="15" t="n">
        <v>1</v>
      </c>
      <c r="E7" s="15">
        <f>C7*D7</f>
        <v/>
      </c>
    </row>
    <row r="8" ht="17" customHeight="1" s="12">
      <c r="A8" s="2" t="n">
        <v>5</v>
      </c>
      <c r="B8" s="3" t="inlineStr">
        <is>
          <t>マルジェラ　レプリカ100ml　バイザファイアープレイス</t>
        </is>
      </c>
      <c r="C8" s="4" t="n">
        <v>7615</v>
      </c>
      <c r="D8" s="4" t="n">
        <v>1</v>
      </c>
      <c r="E8" s="4">
        <f>C8*D8</f>
        <v/>
      </c>
    </row>
    <row r="9" ht="17" customHeight="1" s="12">
      <c r="A9" s="13" t="n">
        <v>6</v>
      </c>
      <c r="B9" s="14" t="inlineStr">
        <is>
          <t>マルジェラ　レプリカ10ml　レイジーサンデーモーニング</t>
        </is>
      </c>
      <c r="C9" s="15" t="n">
        <v>2980</v>
      </c>
      <c r="D9" s="15" t="n">
        <v>108</v>
      </c>
      <c r="E9" s="15">
        <f>C9*D9</f>
        <v/>
      </c>
    </row>
    <row r="10" ht="17" customHeight="1" s="12">
      <c r="A10" s="2" t="n">
        <v>7</v>
      </c>
      <c r="B10" s="3" t="inlineStr">
        <is>
          <t>マルジェラ　レプリカ7ml　レイジーサンデーモーニング</t>
        </is>
      </c>
      <c r="C10" s="4" t="n">
        <v>1780</v>
      </c>
      <c r="D10" s="4" t="n">
        <v>0</v>
      </c>
      <c r="E10" s="4">
        <f>C10*D10</f>
        <v/>
      </c>
    </row>
    <row r="11" ht="17" customHeight="1" s="12">
      <c r="A11" s="13" t="n">
        <v>8</v>
      </c>
      <c r="B11" s="14" t="inlineStr">
        <is>
          <t>エルメス　地中海の庭　100ml</t>
        </is>
      </c>
      <c r="C11" s="15" t="n">
        <v>8390</v>
      </c>
      <c r="D11" s="15" t="n">
        <v>2</v>
      </c>
      <c r="E11" s="15">
        <f>C11*D11</f>
        <v/>
      </c>
    </row>
    <row r="12" ht="17" customHeight="1" s="12">
      <c r="A12" s="2" t="n">
        <v>9</v>
      </c>
      <c r="B12" s="3" t="inlineStr">
        <is>
          <t>エルメス　ナイルの庭　100ml</t>
        </is>
      </c>
      <c r="C12" s="4" t="n">
        <v>8390</v>
      </c>
      <c r="D12" s="4" t="n">
        <v>1</v>
      </c>
      <c r="E12" s="4">
        <f>C12*D12</f>
        <v/>
      </c>
    </row>
    <row r="13" ht="17" customHeight="1" s="12">
      <c r="A13" s="13" t="n">
        <v>10</v>
      </c>
      <c r="B13" s="14" t="inlineStr">
        <is>
          <t>エルメス　李氏の庭　100ml</t>
        </is>
      </c>
      <c r="C13" s="15" t="n">
        <v>8390</v>
      </c>
      <c r="D13" s="15" t="n">
        <v>2</v>
      </c>
      <c r="E13" s="15">
        <f>C13*D13</f>
        <v/>
      </c>
    </row>
    <row r="14" ht="17" customHeight="1" s="12">
      <c r="A14" s="2" t="n">
        <v>11</v>
      </c>
      <c r="B14" s="3" t="inlineStr">
        <is>
          <t>エルメス　屋根の庭　100ml</t>
        </is>
      </c>
      <c r="C14" s="4" t="n">
        <v>8390</v>
      </c>
      <c r="D14" s="4" t="n">
        <v>2</v>
      </c>
      <c r="E14" s="4">
        <f>C14*D14</f>
        <v/>
      </c>
    </row>
    <row r="15" ht="17" customHeight="1" s="12">
      <c r="A15" s="13" t="n">
        <v>12</v>
      </c>
      <c r="B15" s="14" t="inlineStr">
        <is>
          <t>エルメス　テールドゥエルメス　100ml</t>
        </is>
      </c>
      <c r="C15" s="15" t="n">
        <v>8390</v>
      </c>
      <c r="D15" s="15" t="n">
        <v>1</v>
      </c>
      <c r="E15" s="15">
        <f>C15*D15</f>
        <v/>
      </c>
    </row>
    <row r="16" ht="17" customHeight="1" s="12">
      <c r="A16" s="2" t="n">
        <v>13</v>
      </c>
      <c r="B16" s="3" t="inlineStr">
        <is>
          <t>ティファニー　フォーハー 90ml</t>
        </is>
      </c>
      <c r="C16" s="4" t="n">
        <v>10800</v>
      </c>
      <c r="D16" s="4" t="n">
        <v>2</v>
      </c>
      <c r="E16" s="4">
        <f>C16*D16</f>
        <v/>
      </c>
    </row>
    <row r="17" ht="17" customHeight="1" s="12">
      <c r="A17" s="13" t="n">
        <v>14</v>
      </c>
      <c r="B17" s="14" t="inlineStr">
        <is>
          <t>ティファニー　ティファニー　75ml</t>
        </is>
      </c>
      <c r="C17" s="15" t="n">
        <v>10800</v>
      </c>
      <c r="D17" s="15" t="n">
        <v>1</v>
      </c>
      <c r="E17" s="15">
        <f>C17*D17</f>
        <v/>
      </c>
    </row>
    <row r="18" ht="17" customHeight="1" s="12">
      <c r="A18" s="2" t="n">
        <v>15</v>
      </c>
      <c r="B18" s="3" t="inlineStr">
        <is>
          <t>ヴェルサーチ　エロス　100ml</t>
        </is>
      </c>
      <c r="C18" s="4" t="n">
        <v>5500</v>
      </c>
      <c r="D18" s="4" t="n">
        <v>1</v>
      </c>
      <c r="E18" s="4">
        <f>C18*D18</f>
        <v/>
      </c>
    </row>
    <row r="19" ht="17" customHeight="1" s="12">
      <c r="A19" s="13" t="n">
        <v>16</v>
      </c>
      <c r="B19" s="14" t="inlineStr">
        <is>
          <t>ヴェルサーチ　ブライトクリスタル（テスター）　90ml</t>
        </is>
      </c>
      <c r="C19" s="15" t="n">
        <v>5500</v>
      </c>
      <c r="D19" s="15" t="n">
        <v>1</v>
      </c>
      <c r="E19" s="15">
        <f>C19*D19</f>
        <v/>
      </c>
    </row>
    <row r="20" ht="17" customHeight="1" s="12">
      <c r="A20" s="2" t="n">
        <v>17</v>
      </c>
      <c r="B20" s="3" t="inlineStr">
        <is>
          <t>ロエベ　ウーマン　100ml</t>
        </is>
      </c>
      <c r="C20" s="4" t="n">
        <v>11200</v>
      </c>
      <c r="D20" s="4" t="n">
        <v>1</v>
      </c>
      <c r="E20" s="4">
        <f>C20*D20</f>
        <v/>
      </c>
    </row>
    <row r="21" ht="17" customHeight="1" s="12">
      <c r="A21" s="13" t="n">
        <v>18</v>
      </c>
      <c r="B21" s="14" t="inlineStr">
        <is>
          <t>ロエベ　ウーマン　30ml</t>
        </is>
      </c>
      <c r="C21" s="15" t="n">
        <v>4980</v>
      </c>
      <c r="D21" s="15" t="n">
        <v>0</v>
      </c>
      <c r="E21" s="15">
        <f>C21*D21</f>
        <v/>
      </c>
    </row>
    <row r="22" ht="17" customHeight="1" s="12">
      <c r="A22" s="2" t="n">
        <v>19</v>
      </c>
      <c r="B22" s="3" t="inlineStr">
        <is>
          <t>プラダ　ブラック　100ml</t>
        </is>
      </c>
      <c r="C22" s="4" t="n">
        <v>8980</v>
      </c>
      <c r="D22" s="4" t="n">
        <v>0</v>
      </c>
      <c r="E22" s="4">
        <f>C22*D22</f>
        <v/>
      </c>
    </row>
    <row r="23" ht="17" customHeight="1" s="12">
      <c r="A23" s="13" t="n">
        <v>20</v>
      </c>
      <c r="B23" s="14" t="inlineStr">
        <is>
          <t>ディオール　ソバージュ　100ml</t>
        </is>
      </c>
      <c r="C23" s="15" t="n">
        <v>7980</v>
      </c>
      <c r="D23" s="15" t="n">
        <v>0</v>
      </c>
      <c r="E23" s="15">
        <f>C23*D23</f>
        <v/>
      </c>
    </row>
    <row r="24" ht="17" customHeight="1" s="12">
      <c r="A24" s="2" t="n">
        <v>21</v>
      </c>
      <c r="B24" s="3" t="inlineStr">
        <is>
          <t>ディオール　ヒプノティックポワゾン　200ml</t>
        </is>
      </c>
      <c r="C24" s="4" t="n">
        <v>16980</v>
      </c>
      <c r="D24" s="4" t="n">
        <v>0</v>
      </c>
      <c r="E24" s="4">
        <f>C24*D24</f>
        <v/>
      </c>
    </row>
    <row r="25" ht="17" customHeight="1" s="12">
      <c r="A25" s="13" t="n">
        <v>22</v>
      </c>
      <c r="B25" s="14" t="inlineStr">
        <is>
          <t>インプ　シアーコットン70ml</t>
        </is>
      </c>
      <c r="C25" s="15" t="n">
        <v>3980</v>
      </c>
      <c r="D25" s="15" t="n">
        <v>3</v>
      </c>
      <c r="E25" s="15">
        <f>C25*D25</f>
        <v/>
      </c>
    </row>
    <row r="26" ht="17" customHeight="1" s="12">
      <c r="A26" s="2" t="n">
        <v>23</v>
      </c>
      <c r="B26" s="3" t="inlineStr">
        <is>
          <t>インプ　ピュアサボン　70ml</t>
        </is>
      </c>
      <c r="C26" s="4" t="n">
        <v>3980</v>
      </c>
      <c r="D26" s="4" t="n">
        <v>1</v>
      </c>
      <c r="E26" s="4">
        <f>C26*D26</f>
        <v/>
      </c>
    </row>
    <row r="27" ht="17" customHeight="1" s="12">
      <c r="A27" s="13" t="n">
        <v>24</v>
      </c>
      <c r="B27" s="14" t="inlineStr">
        <is>
          <t>インプ　ウィステリアブロッサム　70ml</t>
        </is>
      </c>
      <c r="C27" s="15" t="n">
        <v>3980</v>
      </c>
      <c r="D27" s="15" t="n">
        <v>2</v>
      </c>
      <c r="E27" s="15">
        <f>C27*D27</f>
        <v/>
      </c>
    </row>
    <row r="28" ht="17" customHeight="1" s="12">
      <c r="A28" s="2" t="n">
        <v>25</v>
      </c>
      <c r="B28" s="3" t="inlineStr">
        <is>
          <t>アイアム　チャプター65  100ml</t>
        </is>
      </c>
      <c r="C28" s="4" t="n">
        <v>27000</v>
      </c>
      <c r="D28" s="4" t="n">
        <v>1</v>
      </c>
      <c r="E28" s="4">
        <f>C28*D28</f>
        <v/>
      </c>
    </row>
    <row r="29" ht="17" customHeight="1" s="12">
      <c r="A29" s="13" t="n">
        <v>26</v>
      </c>
      <c r="B29" s="14" t="inlineStr">
        <is>
          <t>アイアム　チャプター9  100ml</t>
        </is>
      </c>
      <c r="C29" s="15" t="n">
        <v>27000</v>
      </c>
      <c r="D29" s="15" t="n">
        <v>1</v>
      </c>
      <c r="E29" s="15">
        <f>C29*D29</f>
        <v/>
      </c>
    </row>
    <row r="30" ht="17" customHeight="1" s="12">
      <c r="A30" s="2" t="n">
        <v>27</v>
      </c>
      <c r="B30" s="3" t="inlineStr">
        <is>
          <t>アイアム　チャプター32　100ml</t>
        </is>
      </c>
      <c r="C30" s="4" t="n">
        <v>27000</v>
      </c>
      <c r="D30" s="4" t="n">
        <v>2</v>
      </c>
      <c r="E30" s="4">
        <f>C30*D30</f>
        <v/>
      </c>
    </row>
    <row r="31" ht="17" customHeight="1" s="12">
      <c r="A31" s="13" t="n">
        <v>28</v>
      </c>
      <c r="B31" s="14" t="inlineStr">
        <is>
          <t>イッセイミヤケ　ロードゥイッセイプールオム　200ml</t>
        </is>
      </c>
      <c r="C31" s="15" t="n">
        <v>3980</v>
      </c>
      <c r="D31" s="15" t="n">
        <v>1</v>
      </c>
      <c r="E31" s="15">
        <f>C31*D31</f>
        <v/>
      </c>
    </row>
    <row r="32" ht="17" customHeight="1" s="12">
      <c r="A32" s="2" t="n">
        <v>29</v>
      </c>
      <c r="B32" s="3" t="inlineStr">
        <is>
          <t>ゲラン　ペッシュミラージュ　200ml</t>
        </is>
      </c>
      <c r="C32" s="4" t="n">
        <v>60000</v>
      </c>
      <c r="D32" s="4" t="n">
        <v>1</v>
      </c>
      <c r="E32" s="4">
        <f>C32*D32</f>
        <v/>
      </c>
    </row>
    <row r="33" ht="17" customHeight="1" s="12">
      <c r="A33" s="13" t="n">
        <v>30</v>
      </c>
      <c r="B33" s="14" t="inlineStr">
        <is>
          <t>ゲラン　サムサラ　100ml</t>
        </is>
      </c>
      <c r="C33" s="15" t="n">
        <v>7890</v>
      </c>
      <c r="D33" s="15" t="n">
        <v>0</v>
      </c>
      <c r="E33" s="15">
        <f>C33*D33</f>
        <v/>
      </c>
    </row>
    <row r="34" ht="17" customHeight="1" s="12">
      <c r="A34" s="2" t="n">
        <v>31</v>
      </c>
      <c r="B34" s="3" t="inlineStr">
        <is>
          <t>ゲラン　夜間飛行　100ml</t>
        </is>
      </c>
      <c r="C34" s="4" t="n">
        <v>7890</v>
      </c>
      <c r="D34" s="4" t="n">
        <v>0</v>
      </c>
      <c r="E34" s="4">
        <f>C34*D34</f>
        <v/>
      </c>
    </row>
    <row r="35" ht="17" customHeight="1" s="12">
      <c r="A35" s="13" t="n">
        <v>32</v>
      </c>
      <c r="B35" s="14" t="inlineStr">
        <is>
          <t>キャロライナヘレナ　212 100ml</t>
        </is>
      </c>
      <c r="C35" s="15" t="n">
        <v>10980</v>
      </c>
      <c r="D35" s="15" t="n">
        <v>1</v>
      </c>
      <c r="E35" s="15">
        <f>C35*D35</f>
        <v/>
      </c>
    </row>
    <row r="36" ht="17" customHeight="1" s="12">
      <c r="A36" s="2" t="n">
        <v>33</v>
      </c>
      <c r="B36" s="3" t="inlineStr">
        <is>
          <t>イヴサンローラン　リブレ　50ml</t>
        </is>
      </c>
      <c r="C36" s="4" t="n">
        <v>8900</v>
      </c>
      <c r="D36" s="4" t="n">
        <v>2</v>
      </c>
      <c r="E36" s="4">
        <f>C36*D36</f>
        <v/>
      </c>
    </row>
    <row r="37" ht="17" customHeight="1" s="12">
      <c r="A37" s="13" t="n">
        <v>34</v>
      </c>
      <c r="B37" s="14" t="inlineStr">
        <is>
          <t>アーレス　アーレス　50ml</t>
        </is>
      </c>
      <c r="C37" s="15" t="n">
        <v>11800</v>
      </c>
      <c r="D37" s="15" t="n">
        <v>4</v>
      </c>
      <c r="E37" s="15">
        <f>C37*D37</f>
        <v/>
      </c>
    </row>
    <row r="38" ht="17" customHeight="1" s="12">
      <c r="A38" s="2" t="n">
        <v>35</v>
      </c>
      <c r="B38" s="3" t="inlineStr">
        <is>
          <t>ブルガリ　プールオム　100ml</t>
        </is>
      </c>
      <c r="C38" s="4" t="n">
        <v>7980</v>
      </c>
      <c r="D38" s="4" t="n">
        <v>0</v>
      </c>
      <c r="E38" s="4">
        <f>C38*D38</f>
        <v/>
      </c>
    </row>
    <row r="39" ht="17" customHeight="1" s="12">
      <c r="A39" s="13" t="n">
        <v>36</v>
      </c>
      <c r="B39" s="14" t="inlineStr">
        <is>
          <t>ブルガリ　プールオム　50ml</t>
        </is>
      </c>
      <c r="C39" s="15" t="n">
        <v>6980</v>
      </c>
      <c r="D39" s="15" t="n">
        <v>0</v>
      </c>
      <c r="E39" s="15">
        <f>C39*D39</f>
        <v/>
      </c>
    </row>
    <row r="40" ht="17" customHeight="1" s="12">
      <c r="A40" s="2" t="n">
        <v>37</v>
      </c>
      <c r="B40" s="3" t="inlineStr">
        <is>
          <t>イソップ　マラケッシュ　100ml</t>
        </is>
      </c>
      <c r="C40" s="4" t="n">
        <v>32900</v>
      </c>
      <c r="D40" s="4" t="n">
        <v>1</v>
      </c>
      <c r="E40" s="4">
        <f>C40*D40</f>
        <v/>
      </c>
    </row>
    <row r="41" ht="17" customHeight="1" s="12">
      <c r="A41" s="13" t="n">
        <v>38</v>
      </c>
      <c r="B41" s="14" t="inlineStr">
        <is>
          <t>デコルテ　キモノ　ユイ　50ml</t>
        </is>
      </c>
      <c r="C41" s="15" t="n">
        <v>7200</v>
      </c>
      <c r="D41" s="15" t="n">
        <v>2</v>
      </c>
      <c r="E41" s="15">
        <f>C41*D41</f>
        <v/>
      </c>
    </row>
    <row r="42" ht="17" customHeight="1" s="12">
      <c r="A42" s="2" t="n">
        <v>39</v>
      </c>
      <c r="B42" s="3" t="inlineStr">
        <is>
          <t>デコルテ　キモノ　ツヤ　50ml</t>
        </is>
      </c>
      <c r="C42" s="4" t="n">
        <v>7200</v>
      </c>
      <c r="D42" s="4" t="n">
        <v>1</v>
      </c>
      <c r="E42" s="4">
        <f>C42*D42</f>
        <v/>
      </c>
    </row>
    <row r="43" ht="17" customHeight="1" s="12">
      <c r="A43" s="13" t="n">
        <v>40</v>
      </c>
      <c r="B43" s="14" t="inlineStr">
        <is>
          <t>リブロアリア　恋の序章　50ml</t>
        </is>
      </c>
      <c r="C43" s="15" t="n">
        <v>9900</v>
      </c>
      <c r="D43" s="15" t="n">
        <v>2</v>
      </c>
      <c r="E43" s="15">
        <f>C43*D43</f>
        <v/>
      </c>
    </row>
    <row r="44" ht="17" customHeight="1" s="12">
      <c r="A44" s="2" t="n">
        <v>41</v>
      </c>
      <c r="B44" s="3" t="inlineStr">
        <is>
          <t>アランチャ　ブルーメディテラネオ（テスター）</t>
        </is>
      </c>
      <c r="C44" s="4" t="n">
        <v>9900</v>
      </c>
      <c r="D44" s="4" t="n">
        <v>1</v>
      </c>
      <c r="E44" s="4">
        <f>C44*D44</f>
        <v/>
      </c>
    </row>
    <row r="45" ht="17" customHeight="1" s="12">
      <c r="A45" s="13" t="n">
        <v>42</v>
      </c>
      <c r="B45" s="14" t="inlineStr">
        <is>
          <t>マークジェイコブス　デイジー　50ml</t>
        </is>
      </c>
      <c r="C45" s="15" t="n">
        <v>3980</v>
      </c>
      <c r="D45" s="15" t="n">
        <v>1</v>
      </c>
      <c r="E45" s="15">
        <f>C45*D45</f>
        <v/>
      </c>
    </row>
    <row r="46" ht="17" customHeight="1" s="12">
      <c r="A46" s="2" t="n">
        <v>43</v>
      </c>
      <c r="B46" s="3" t="inlineStr">
        <is>
          <t>バイレード　ブランシュ　100ml</t>
        </is>
      </c>
      <c r="C46" s="4" t="n">
        <v>9780</v>
      </c>
      <c r="D46" s="4" t="n">
        <v>62</v>
      </c>
      <c r="E46" s="4">
        <f>C46*D46</f>
        <v/>
      </c>
    </row>
    <row r="47" ht="17" customHeight="1" s="12">
      <c r="A47" s="13" t="n">
        <v>44</v>
      </c>
      <c r="B47" s="14" t="inlineStr">
        <is>
          <t>バイレード　ブランシュ　50ml</t>
        </is>
      </c>
      <c r="C47" s="15" t="n">
        <v>7200</v>
      </c>
      <c r="D47" s="15" t="n">
        <v>0</v>
      </c>
      <c r="E47" s="15">
        <f>C47*D47</f>
        <v/>
      </c>
    </row>
    <row r="48" ht="17" customHeight="1" s="12">
      <c r="A48" s="2" t="n">
        <v>45</v>
      </c>
      <c r="B48" s="3" t="inlineStr">
        <is>
          <t>ジョーマローン　イングリッシュペアー　100ml</t>
        </is>
      </c>
      <c r="C48" s="4" t="n">
        <v>8380</v>
      </c>
      <c r="D48" s="4" t="n">
        <v>0</v>
      </c>
      <c r="E48" s="4">
        <f>C48*D48</f>
        <v/>
      </c>
    </row>
    <row r="49" ht="17" customHeight="1" s="12">
      <c r="A49" s="13" t="n">
        <v>46</v>
      </c>
      <c r="B49" s="14" t="inlineStr">
        <is>
          <t>ジョーマローン　ウッドセージ　100ml</t>
        </is>
      </c>
      <c r="C49" s="15" t="n">
        <v>8380</v>
      </c>
      <c r="D49" s="15" t="n">
        <v>2</v>
      </c>
      <c r="E49" s="15">
        <f>C49*D49</f>
        <v/>
      </c>
    </row>
    <row r="50" ht="17" customHeight="1" s="12">
      <c r="A50" s="2" t="n">
        <v>47</v>
      </c>
      <c r="B50" s="3" t="inlineStr">
        <is>
          <t>ジョーマローン　ブラックベリー　100ml</t>
        </is>
      </c>
      <c r="C50" s="4" t="n">
        <v>8380</v>
      </c>
      <c r="D50" s="4" t="n">
        <v>2</v>
      </c>
      <c r="E50" s="4">
        <f>C50*D50</f>
        <v/>
      </c>
    </row>
    <row r="51" ht="17" customHeight="1" s="12">
      <c r="A51" s="13" t="n">
        <v>48</v>
      </c>
      <c r="B51" s="14" t="inlineStr">
        <is>
          <t>ジョーマローン　ネクタリン　100ml</t>
        </is>
      </c>
      <c r="C51" s="15" t="n">
        <v>8380</v>
      </c>
      <c r="D51" s="15" t="n">
        <v>1</v>
      </c>
      <c r="E51" s="15">
        <f>C51*D51</f>
        <v/>
      </c>
    </row>
    <row r="52" ht="17" customHeight="1" s="12">
      <c r="A52" s="2" t="n">
        <v>49</v>
      </c>
      <c r="B52" s="3" t="inlineStr">
        <is>
          <t>ジョーマローン　ピオニー　100ml</t>
        </is>
      </c>
      <c r="C52" s="4" t="n">
        <v>8380</v>
      </c>
      <c r="D52" s="4" t="n">
        <v>2</v>
      </c>
      <c r="E52" s="4">
        <f>C52*D52</f>
        <v/>
      </c>
    </row>
    <row r="53" ht="17" customHeight="1" s="12">
      <c r="A53" s="13" t="n">
        <v>50</v>
      </c>
      <c r="B53" s="14" t="inlineStr">
        <is>
          <t>ジョーマローン　オレンジブロッサム　100ml</t>
        </is>
      </c>
      <c r="C53" s="15" t="n">
        <v>8380</v>
      </c>
      <c r="D53" s="15" t="n">
        <v>1</v>
      </c>
      <c r="E53" s="15">
        <f>C53*D53</f>
        <v/>
      </c>
    </row>
    <row r="54" ht="17" customHeight="1" s="12">
      <c r="A54" s="2" t="n">
        <v>51</v>
      </c>
      <c r="B54" s="3" t="inlineStr">
        <is>
          <t>シャネル　ブルードゥシャネル　100ml</t>
        </is>
      </c>
      <c r="C54" s="4" t="n">
        <v>8380</v>
      </c>
      <c r="D54" s="4" t="n">
        <v>0</v>
      </c>
      <c r="E54" s="4">
        <f>C54*D54</f>
        <v/>
      </c>
    </row>
    <row r="55" ht="17" customHeight="1" s="12">
      <c r="A55" s="13" t="n">
        <v>52</v>
      </c>
      <c r="B55" s="14" t="inlineStr">
        <is>
          <t>シャネル　エゴイスト　プラチナム　100ml</t>
        </is>
      </c>
      <c r="C55" s="15" t="n">
        <v>8380</v>
      </c>
      <c r="D55" s="15" t="n">
        <v>2</v>
      </c>
      <c r="E55" s="15">
        <f>C55*D55</f>
        <v/>
      </c>
    </row>
    <row r="56" ht="17" customHeight="1" s="12">
      <c r="A56" s="2" t="n">
        <v>53</v>
      </c>
      <c r="B56" s="3" t="inlineStr">
        <is>
          <t>シャネル　チャンスオータンドゥ</t>
        </is>
      </c>
      <c r="C56" s="4" t="n">
        <v>8380</v>
      </c>
      <c r="D56" s="4" t="n">
        <v>1</v>
      </c>
      <c r="E56" s="4">
        <f>C56*D56</f>
        <v/>
      </c>
    </row>
    <row r="57" ht="17" customHeight="1" s="12">
      <c r="A57" s="13" t="n">
        <v>54</v>
      </c>
      <c r="B57" s="14" t="inlineStr">
        <is>
          <t>シャネル　ココマドモワゼル　100ml</t>
        </is>
      </c>
      <c r="C57" s="15" t="n">
        <v>8380</v>
      </c>
      <c r="D57" s="15" t="n">
        <v>1</v>
      </c>
      <c r="E57" s="15">
        <f>C57*D57</f>
        <v/>
      </c>
    </row>
    <row r="58" ht="17" customHeight="1" s="12">
      <c r="A58" s="2" t="n">
        <v>55</v>
      </c>
      <c r="B58" s="3" t="inlineStr">
        <is>
          <t>ランバン　エクラドゥアルページュ　100ml</t>
        </is>
      </c>
      <c r="C58" s="4" t="n">
        <v>3980</v>
      </c>
      <c r="D58" s="4" t="n">
        <v>1</v>
      </c>
      <c r="E58" s="4">
        <f>C58*D58</f>
        <v/>
      </c>
    </row>
    <row r="59" ht="17" customHeight="1" s="12">
      <c r="A59" s="13" t="n">
        <v>56</v>
      </c>
      <c r="B59" s="14" t="inlineStr">
        <is>
          <t>ランバン　マリーミー　100ml</t>
        </is>
      </c>
      <c r="C59" s="15" t="n">
        <v>3980</v>
      </c>
      <c r="D59" s="15" t="n">
        <v>2</v>
      </c>
      <c r="E59" s="15">
        <f>C59*D59</f>
        <v/>
      </c>
    </row>
    <row r="60" ht="17" customHeight="1" s="12">
      <c r="A60" s="2" t="n">
        <v>57</v>
      </c>
      <c r="B60" s="3" t="inlineStr">
        <is>
          <t>ジバンシィ　π 100ml</t>
        </is>
      </c>
      <c r="C60" s="4" t="n">
        <v>5980</v>
      </c>
      <c r="D60" s="4" t="n">
        <v>1</v>
      </c>
      <c r="E60" s="4">
        <f>C60*D60</f>
        <v/>
      </c>
    </row>
    <row r="61" ht="19" customHeight="1" s="12">
      <c r="A61" s="13" t="n">
        <v>58</v>
      </c>
      <c r="B61" s="14" t="inlineStr">
        <is>
          <t>ジバンシィ　プチサンボン</t>
        </is>
      </c>
      <c r="C61" s="15" t="n">
        <v>5980</v>
      </c>
      <c r="D61" s="15" t="n">
        <v>1</v>
      </c>
      <c r="E61" s="15">
        <f>C61*D61</f>
        <v/>
      </c>
    </row>
    <row r="62">
      <c r="A62" s="8" t="n"/>
      <c r="B62" s="9" t="inlineStr">
        <is>
          <t>合計</t>
        </is>
      </c>
      <c r="C62" s="8" t="n"/>
      <c r="D62" s="10">
        <f>SUM(D4:D61)</f>
        <v/>
      </c>
      <c r="E62" s="10">
        <f>SUM(E4:E61)</f>
        <v/>
      </c>
    </row>
    <row r="63"/>
    <row r="64"/>
    <row r="65"/>
    <row r="66"/>
    <row r="67"/>
    <row r="68"/>
    <row r="69"/>
    <row r="70"/>
  </sheetData>
  <mergeCells count="1">
    <mergeCell ref="A1:E1"/>
  </mergeCells>
  <pageMargins left="0.75" right="0.75" top="1" bottom="1" header="0.5" footer="0.5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2026-10-13T08:24:59Z</dcterms:created>
  <dcterms:modified xmlns:dcterms="http://purl.org/dc/terms/" xmlns:xsi="http://www.w3.org/2001/XMLSchema-instance" xsi:type="dcterms:W3CDTF">2026-10-13T08:42:25Z</dcterms:modified>
  <cp:lastModifiedBy>sumi@keio.jp</cp:lastModifiedBy>
</cp:coreProperties>
</file>